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arih\OneDrive\Documents\"/>
    </mc:Choice>
  </mc:AlternateContent>
  <xr:revisionPtr revIDLastSave="0" documentId="8_{59E490F0-31B9-4A48-96E2-B2BF993EC2BB}" xr6:coauthVersionLast="47" xr6:coauthVersionMax="47" xr10:uidLastSave="{00000000-0000-0000-0000-000000000000}"/>
  <bookViews>
    <workbookView xWindow="-108" yWindow="-108" windowWidth="23256" windowHeight="12456" activeTab="1" xr2:uid="{A1853EBB-E739-4181-88EF-FCFCD7357B4E}"/>
  </bookViews>
  <sheets>
    <sheet name="Data" sheetId="2" r:id="rId1"/>
    <sheet name="Dashboard" sheetId="1" r:id="rId2"/>
  </sheets>
  <definedNames>
    <definedName name="Slicer_Category">#N/A</definedName>
    <definedName name="Slicer_Product">#N/A</definedName>
    <definedName name="Slicer_Region">#N/A</definedName>
  </definedNames>
  <calcPr calcId="191029"/>
  <pivotCaches>
    <pivotCache cacheId="2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2" l="1"/>
  <c r="I3" i="2"/>
</calcChain>
</file>

<file path=xl/sharedStrings.xml><?xml version="1.0" encoding="utf-8"?>
<sst xmlns="http://schemas.openxmlformats.org/spreadsheetml/2006/main" count="75" uniqueCount="36">
  <si>
    <t>Date</t>
  </si>
  <si>
    <t>Product</t>
  </si>
  <si>
    <t>Category</t>
  </si>
  <si>
    <t>Quantity</t>
  </si>
  <si>
    <t>Sales</t>
  </si>
  <si>
    <t>Laptop</t>
  </si>
  <si>
    <t>Electronics</t>
  </si>
  <si>
    <t>Region</t>
  </si>
  <si>
    <t>South</t>
  </si>
  <si>
    <t>Phone</t>
  </si>
  <si>
    <t>Shoes</t>
  </si>
  <si>
    <t>Fashion</t>
  </si>
  <si>
    <t>North</t>
  </si>
  <si>
    <t>East</t>
  </si>
  <si>
    <t>Watch</t>
  </si>
  <si>
    <t>Accessories</t>
  </si>
  <si>
    <t>West</t>
  </si>
  <si>
    <t>Tablet</t>
  </si>
  <si>
    <t>Shirt</t>
  </si>
  <si>
    <t>Headphone</t>
  </si>
  <si>
    <t>Mobile</t>
  </si>
  <si>
    <t>Pant</t>
  </si>
  <si>
    <t>PC</t>
  </si>
  <si>
    <t>Charger</t>
  </si>
  <si>
    <t>Ring</t>
  </si>
  <si>
    <t>Speaker</t>
  </si>
  <si>
    <t>Router</t>
  </si>
  <si>
    <t>Sum of Sales</t>
  </si>
  <si>
    <t>Row Labels</t>
  </si>
  <si>
    <t>Grand Total</t>
  </si>
  <si>
    <t>Total Sales</t>
  </si>
  <si>
    <t>Total Quantity</t>
  </si>
  <si>
    <t>Total Products</t>
  </si>
  <si>
    <t>Sum of Quantity</t>
  </si>
  <si>
    <t>(All)</t>
  </si>
  <si>
    <t>Sales &amp; Revenue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</si>
</sst>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5">
    <font>
      <sz val="11"/>
      <color theme="1"/>
      <name val="Calibri"/>
      <family val="2"/>
      <scheme val="minor"/>
    </font>
    <font>
      <b/>
      <sz val="11"/>
      <color theme="1"/>
      <name val="Calibri"/>
      <family val="2"/>
      <scheme val="minor"/>
    </font>
    <font>
      <u/>
      <sz val="11"/>
      <color theme="1"/>
      <name val="Calibri"/>
      <family val="2"/>
      <scheme val="minor"/>
    </font>
    <font>
      <sz val="14"/>
      <color theme="1"/>
      <name val="Bold"/>
    </font>
    <font>
      <sz val="24"/>
      <color theme="1"/>
      <name val="Bold"/>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0" fontId="2" fillId="2" borderId="1" xfId="0" applyFont="1" applyFill="1" applyBorder="1" applyAlignment="1">
      <alignment horizontal="center" vertical="center"/>
    </xf>
    <xf numFmtId="0" fontId="0" fillId="0" borderId="0" xfId="0" applyBorder="1"/>
    <xf numFmtId="3" fontId="0" fillId="2" borderId="1" xfId="0" applyNumberFormat="1" applyFill="1" applyBorder="1" applyAlignment="1">
      <alignment horizontal="center" vertical="center"/>
    </xf>
    <xf numFmtId="0" fontId="4" fillId="0" borderId="0" xfId="0" applyFont="1"/>
  </cellXfs>
  <cellStyles count="1">
    <cellStyle name="Normal" xfId="0" builtinId="0"/>
  </cellStyles>
  <dxfs count="21">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[Sales_Analysis_Project.xlsx]Data!PivotTable1</c:name>
    <c:fmtId val="0"/>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IN"/>
              <a:t>Sales Distribution</a:t>
            </a:r>
            <a:r>
              <a:rPr lang="en-IN" baseline="0"/>
              <a:t> by</a:t>
            </a:r>
            <a:r>
              <a:rPr lang="en-IN"/>
              <a:t> Product</a:t>
            </a:r>
          </a:p>
        </c:rich>
      </c:tx>
      <c:layout>
        <c:manualLayout>
          <c:xMode val="edge"/>
          <c:yMode val="edge"/>
          <c:x val="0.18162359065581918"/>
          <c:y val="0.21092155147273259"/>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75286228756291"/>
          <c:y val="0.40679899387576551"/>
          <c:w val="0.63553138706498902"/>
          <c:h val="0.33365850102070577"/>
        </c:manualLayout>
      </c:layout>
      <c:barChart>
        <c:barDir val="col"/>
        <c:grouping val="clustered"/>
        <c:varyColors val="0"/>
        <c:ser>
          <c:idx val="0"/>
          <c:order val="0"/>
          <c:tx>
            <c:strRef>
              <c:f>Data!$B$3</c:f>
              <c:strCache>
                <c:ptCount val="1"/>
                <c:pt idx="0">
                  <c:v>Sum of Sales</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f>Data!$A$4:$A$18</c:f>
              <c:strCache>
                <c:ptCount val="14"/>
                <c:pt idx="0">
                  <c:v>Mobile</c:v>
                </c:pt>
                <c:pt idx="1">
                  <c:v>PC</c:v>
                </c:pt>
                <c:pt idx="2">
                  <c:v>Laptop</c:v>
                </c:pt>
                <c:pt idx="3">
                  <c:v>Tablet</c:v>
                </c:pt>
                <c:pt idx="4">
                  <c:v>Speaker</c:v>
                </c:pt>
                <c:pt idx="5">
                  <c:v>Charger</c:v>
                </c:pt>
                <c:pt idx="6">
                  <c:v>Phone</c:v>
                </c:pt>
                <c:pt idx="7">
                  <c:v>Ring</c:v>
                </c:pt>
                <c:pt idx="8">
                  <c:v>Headphone</c:v>
                </c:pt>
                <c:pt idx="9">
                  <c:v>Router</c:v>
                </c:pt>
                <c:pt idx="10">
                  <c:v>Watch</c:v>
                </c:pt>
                <c:pt idx="11">
                  <c:v>Pant</c:v>
                </c:pt>
                <c:pt idx="12">
                  <c:v>Shirt</c:v>
                </c:pt>
                <c:pt idx="13">
                  <c:v>Shoes</c:v>
                </c:pt>
              </c:strCache>
            </c:strRef>
          </c:cat>
          <c:val>
            <c:numRef>
              <c:f>Data!$B$4:$B$18</c:f>
              <c:numCache>
                <c:formatCode>General</c:formatCode>
                <c:ptCount val="14"/>
                <c:pt idx="0">
                  <c:v>60000</c:v>
                </c:pt>
                <c:pt idx="1">
                  <c:v>55000</c:v>
                </c:pt>
                <c:pt idx="2">
                  <c:v>50000</c:v>
                </c:pt>
                <c:pt idx="3">
                  <c:v>30000</c:v>
                </c:pt>
                <c:pt idx="4">
                  <c:v>28000</c:v>
                </c:pt>
                <c:pt idx="5">
                  <c:v>22000</c:v>
                </c:pt>
                <c:pt idx="6">
                  <c:v>20000</c:v>
                </c:pt>
                <c:pt idx="7">
                  <c:v>9000</c:v>
                </c:pt>
                <c:pt idx="8">
                  <c:v>8000</c:v>
                </c:pt>
                <c:pt idx="9">
                  <c:v>7500</c:v>
                </c:pt>
                <c:pt idx="10">
                  <c:v>7000</c:v>
                </c:pt>
                <c:pt idx="11">
                  <c:v>6000</c:v>
                </c:pt>
                <c:pt idx="12">
                  <c:v>5500</c:v>
                </c:pt>
                <c:pt idx="13">
                  <c:v>5000</c:v>
                </c:pt>
              </c:numCache>
            </c:numRef>
          </c:val>
          <c:extLst>
            <c:ext xmlns:c16="http://schemas.microsoft.com/office/drawing/2014/chart" uri="{C3380CC4-5D6E-409C-BE32-E72D297353CC}">
              <c16:uniqueId val="{00000000-7D87-448E-8531-58EF5DD2F381}"/>
            </c:ext>
          </c:extLst>
        </c:ser>
        <c:ser>
          <c:idx val="1"/>
          <c:order val="1"/>
          <c:tx>
            <c:strRef>
              <c:f>Data!$C$3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Data!$A$4:$A$18</c:f>
              <c:strCache>
                <c:ptCount val="14"/>
                <c:pt idx="0">
                  <c:v>Mobile</c:v>
                </c:pt>
                <c:pt idx="1">
                  <c:v>PC</c:v>
                </c:pt>
                <c:pt idx="2">
                  <c:v>Laptop</c:v>
                </c:pt>
                <c:pt idx="3">
                  <c:v>Tablet</c:v>
                </c:pt>
                <c:pt idx="4">
                  <c:v>Speaker</c:v>
                </c:pt>
                <c:pt idx="5">
                  <c:v>Charger</c:v>
                </c:pt>
                <c:pt idx="6">
                  <c:v>Phone</c:v>
                </c:pt>
                <c:pt idx="7">
                  <c:v>Ring</c:v>
                </c:pt>
                <c:pt idx="8">
                  <c:v>Headphone</c:v>
                </c:pt>
                <c:pt idx="9">
                  <c:v>Router</c:v>
                </c:pt>
                <c:pt idx="10">
                  <c:v>Watch</c:v>
                </c:pt>
                <c:pt idx="11">
                  <c:v>Pant</c:v>
                </c:pt>
                <c:pt idx="12">
                  <c:v>Shirt</c:v>
                </c:pt>
                <c:pt idx="13">
                  <c:v>Shoes</c:v>
                </c:pt>
              </c:strCache>
            </c:strRef>
          </c:cat>
          <c:val>
            <c:numRef>
              <c:f>Data!$C$4:$C$18</c:f>
              <c:numCache>
                <c:formatCode>General</c:formatCode>
                <c:ptCount val="14"/>
                <c:pt idx="0">
                  <c:v>1</c:v>
                </c:pt>
                <c:pt idx="1">
                  <c:v>1</c:v>
                </c:pt>
                <c:pt idx="2">
                  <c:v>2</c:v>
                </c:pt>
                <c:pt idx="3">
                  <c:v>2</c:v>
                </c:pt>
                <c:pt idx="4">
                  <c:v>2</c:v>
                </c:pt>
                <c:pt idx="5">
                  <c:v>2</c:v>
                </c:pt>
                <c:pt idx="6">
                  <c:v>3</c:v>
                </c:pt>
                <c:pt idx="7">
                  <c:v>3</c:v>
                </c:pt>
                <c:pt idx="8">
                  <c:v>3</c:v>
                </c:pt>
                <c:pt idx="9">
                  <c:v>4</c:v>
                </c:pt>
                <c:pt idx="10">
                  <c:v>2</c:v>
                </c:pt>
                <c:pt idx="11">
                  <c:v>2</c:v>
                </c:pt>
                <c:pt idx="12">
                  <c:v>9</c:v>
                </c:pt>
                <c:pt idx="13">
                  <c:v>5</c:v>
                </c:pt>
              </c:numCache>
            </c:numRef>
          </c:val>
          <c:extLst>
            <c:ext xmlns:c16="http://schemas.microsoft.com/office/drawing/2014/chart" uri="{C3380CC4-5D6E-409C-BE32-E72D297353CC}">
              <c16:uniqueId val="{00000002-7D87-448E-8531-58EF5DD2F381}"/>
            </c:ext>
          </c:extLst>
        </c:ser>
        <c:dLbls>
          <c:showLegendKey val="0"/>
          <c:showVal val="0"/>
          <c:showCatName val="0"/>
          <c:showSerName val="0"/>
          <c:showPercent val="0"/>
          <c:showBubbleSize val="0"/>
        </c:dLbls>
        <c:gapWidth val="100"/>
        <c:axId val="532304720"/>
        <c:axId val="532308080"/>
      </c:barChart>
      <c:catAx>
        <c:axId val="532304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08080"/>
        <c:crosses val="autoZero"/>
        <c:auto val="1"/>
        <c:lblAlgn val="ctr"/>
        <c:lblOffset val="100"/>
        <c:noMultiLvlLbl val="0"/>
      </c:catAx>
      <c:valAx>
        <c:axId val="53230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04720"/>
        <c:crosses val="autoZero"/>
        <c:crossBetween val="between"/>
      </c:valAx>
      <c:spPr>
        <a:noFill/>
        <a:ln>
          <a:noFill/>
        </a:ln>
        <a:effectLst/>
      </c:spPr>
    </c:plotArea>
    <c:legend>
      <c:legendPos val="r"/>
      <c:layout>
        <c:manualLayout>
          <c:xMode val="edge"/>
          <c:yMode val="edge"/>
          <c:x val="0.77298746086971681"/>
          <c:y val="0.14821704578594344"/>
          <c:w val="0.2131697927293972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Dashboard!$B$2:$B$16</c:f>
              <c:strCache>
                <c:ptCount val="15"/>
                <c:pt idx="0">
                  <c:v>Laptop</c:v>
                </c:pt>
                <c:pt idx="1">
                  <c:v>Phone</c:v>
                </c:pt>
                <c:pt idx="2">
                  <c:v>Shoes</c:v>
                </c:pt>
                <c:pt idx="3">
                  <c:v>Watch</c:v>
                </c:pt>
                <c:pt idx="4">
                  <c:v>PC</c:v>
                </c:pt>
                <c:pt idx="5">
                  <c:v>Tablet</c:v>
                </c:pt>
                <c:pt idx="6">
                  <c:v>Shirt</c:v>
                </c:pt>
                <c:pt idx="7">
                  <c:v>Headphone</c:v>
                </c:pt>
                <c:pt idx="8">
                  <c:v>Pant</c:v>
                </c:pt>
                <c:pt idx="9">
                  <c:v>Ring</c:v>
                </c:pt>
                <c:pt idx="10">
                  <c:v>Mobile</c:v>
                </c:pt>
                <c:pt idx="11">
                  <c:v>Charger</c:v>
                </c:pt>
                <c:pt idx="12">
                  <c:v>Shirt</c:v>
                </c:pt>
                <c:pt idx="13">
                  <c:v>Speaker</c:v>
                </c:pt>
                <c:pt idx="14">
                  <c:v>Router</c:v>
                </c:pt>
              </c:strCache>
            </c:strRef>
          </c:cat>
          <c:val>
            <c:numRef>
              <c:f>Dashboard!$D$2:$D$16</c:f>
              <c:numCache>
                <c:formatCode>General</c:formatCode>
                <c:ptCount val="15"/>
                <c:pt idx="0">
                  <c:v>50000</c:v>
                </c:pt>
                <c:pt idx="1">
                  <c:v>20000</c:v>
                </c:pt>
                <c:pt idx="2">
                  <c:v>5000</c:v>
                </c:pt>
                <c:pt idx="3">
                  <c:v>7000</c:v>
                </c:pt>
                <c:pt idx="4">
                  <c:v>55000</c:v>
                </c:pt>
                <c:pt idx="5">
                  <c:v>30000</c:v>
                </c:pt>
                <c:pt idx="6">
                  <c:v>2500</c:v>
                </c:pt>
                <c:pt idx="7">
                  <c:v>8000</c:v>
                </c:pt>
                <c:pt idx="8">
                  <c:v>6000</c:v>
                </c:pt>
                <c:pt idx="9">
                  <c:v>9000</c:v>
                </c:pt>
                <c:pt idx="10">
                  <c:v>60000</c:v>
                </c:pt>
                <c:pt idx="11">
                  <c:v>22000</c:v>
                </c:pt>
                <c:pt idx="12">
                  <c:v>3000</c:v>
                </c:pt>
                <c:pt idx="13">
                  <c:v>28000</c:v>
                </c:pt>
                <c:pt idx="14">
                  <c:v>7500</c:v>
                </c:pt>
              </c:numCache>
            </c:numRef>
          </c:val>
          <c:extLst>
            <c:ext xmlns:c16="http://schemas.microsoft.com/office/drawing/2014/chart" uri="{C3380CC4-5D6E-409C-BE32-E72D297353CC}">
              <c16:uniqueId val="{00000000-3529-4771-BD16-D56C34B4AF11}"/>
            </c:ext>
          </c:extLst>
        </c:ser>
        <c:dLbls>
          <c:showLegendKey val="0"/>
          <c:showVal val="0"/>
          <c:showCatName val="0"/>
          <c:showSerName val="0"/>
          <c:showPercent val="0"/>
          <c:showBubbleSize val="0"/>
        </c:dLbls>
        <c:gapWidth val="100"/>
        <c:overlap val="-24"/>
        <c:axId val="482990592"/>
        <c:axId val="482985312"/>
      </c:barChart>
      <c:catAx>
        <c:axId val="482990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85312"/>
        <c:crosses val="autoZero"/>
        <c:auto val="1"/>
        <c:lblAlgn val="ctr"/>
        <c:lblOffset val="100"/>
        <c:noMultiLvlLbl val="0"/>
      </c:catAx>
      <c:valAx>
        <c:axId val="48298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9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228600</xdr:colOff>
      <xdr:row>3</xdr:row>
      <xdr:rowOff>137160</xdr:rowOff>
    </xdr:from>
    <xdr:to>
      <xdr:col>7</xdr:col>
      <xdr:colOff>784860</xdr:colOff>
      <xdr:row>18</xdr:row>
      <xdr:rowOff>137160</xdr:rowOff>
    </xdr:to>
    <xdr:graphicFrame macro="">
      <xdr:nvGraphicFramePr>
        <xdr:cNvPr id="2" name="Chart 1">
          <a:extLst>
            <a:ext uri="{FF2B5EF4-FFF2-40B4-BE49-F238E27FC236}">
              <a16:creationId xmlns:a16="http://schemas.microsoft.com/office/drawing/2014/main" id="{5A4BB9E9-02D1-0EEC-077E-9442FBB2D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45720</xdr:colOff>
      <xdr:row>4</xdr:row>
      <xdr:rowOff>68580</xdr:rowOff>
    </xdr:from>
    <xdr:to>
      <xdr:col>8</xdr:col>
      <xdr:colOff>1874520</xdr:colOff>
      <xdr:row>17</xdr:row>
      <xdr:rowOff>158115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BF125A14-C5DC-C6C1-80B7-2D4CAAD799C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680960" y="1036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2019300</xdr:colOff>
      <xdr:row>4</xdr:row>
      <xdr:rowOff>68580</xdr:rowOff>
    </xdr:from>
    <xdr:to>
      <xdr:col>8</xdr:col>
      <xdr:colOff>3848100</xdr:colOff>
      <xdr:row>17</xdr:row>
      <xdr:rowOff>165735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AD1136B8-72C3-BBFC-7AE4-BD1FE87F35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654540" y="1036320"/>
              <a:ext cx="1828800" cy="247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4</xdr:row>
      <xdr:rowOff>60960</xdr:rowOff>
    </xdr:from>
    <xdr:to>
      <xdr:col>10</xdr:col>
      <xdr:colOff>335280</xdr:colOff>
      <xdr:row>17</xdr:row>
      <xdr:rowOff>150495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2992E974-B1E9-E698-BDAC-9A5BDA5651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96700" y="1028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7620</xdr:colOff>
      <xdr:row>5</xdr:row>
      <xdr:rowOff>133350</xdr:rowOff>
    </xdr:from>
    <xdr:to>
      <xdr:col>14</xdr:col>
      <xdr:colOff>312420</xdr:colOff>
      <xdr:row>20</xdr:row>
      <xdr:rowOff>133350</xdr:rowOff>
    </xdr:to>
    <xdr:graphicFrame macro="">
      <xdr:nvGraphicFramePr>
        <xdr:cNvPr id="3" name="Chart 2">
          <a:extLst>
            <a:ext uri="{FF2B5EF4-FFF2-40B4-BE49-F238E27FC236}">
              <a16:creationId xmlns:a16="http://schemas.microsoft.com/office/drawing/2014/main" id="{B52DF1BF-F795-FE93-001C-B9543FC5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464820</xdr:colOff>
      <xdr:row>5</xdr:row>
      <xdr:rowOff>144780</xdr:rowOff>
    </xdr:from>
    <xdr:to>
      <xdr:col>21</xdr:col>
      <xdr:colOff>266700</xdr:colOff>
      <xdr:row>20</xdr:row>
      <xdr:rowOff>137160</xdr:rowOff>
    </xdr:to>
    <xdr:sp macro="" textlink="">
      <xdr:nvSpPr>
        <xdr:cNvPr id="6" name="TextBox 5">
          <a:extLst>
            <a:ext uri="{FF2B5EF4-FFF2-40B4-BE49-F238E27FC236}">
              <a16:creationId xmlns:a16="http://schemas.microsoft.com/office/drawing/2014/main" id="{822AB05B-7EDC-4D81-922C-EBEC4C0FDC64}"/>
            </a:ext>
          </a:extLst>
        </xdr:cNvPr>
        <xdr:cNvSpPr txBox="1"/>
      </xdr:nvSpPr>
      <xdr:spPr>
        <a:xfrm>
          <a:off x="9525000" y="1059180"/>
          <a:ext cx="4069080" cy="2735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Bold"/>
            </a:rPr>
            <a:t>KEY INSIGHTS</a:t>
          </a:r>
        </a:p>
        <a:p>
          <a:pPr algn="ctr"/>
          <a:endParaRPr lang="en-IN" sz="1400">
            <a:latin typeface="Bold"/>
          </a:endParaRPr>
        </a:p>
        <a:p>
          <a:pPr algn="ctr"/>
          <a:r>
            <a:rPr lang="en-IN" sz="1400">
              <a:latin typeface="Bold"/>
            </a:rPr>
            <a:t>• Mobile has the highest sales (~60,000)</a:t>
          </a:r>
        </a:p>
        <a:p>
          <a:pPr algn="ctr"/>
          <a:r>
            <a:rPr lang="en-IN" sz="1400">
              <a:latin typeface="Bold"/>
            </a:rPr>
            <a:t>• Shoes have the lowest sales (~5,000)</a:t>
          </a:r>
        </a:p>
        <a:p>
          <a:pPr algn="ctr"/>
          <a:r>
            <a:rPr lang="en-IN" sz="1400">
              <a:latin typeface="Bold"/>
            </a:rPr>
            <a:t>• Electronics category contributes the total sales</a:t>
          </a:r>
        </a:p>
        <a:p>
          <a:pPr algn="ctr"/>
          <a:r>
            <a:rPr lang="en-IN" sz="1400">
              <a:latin typeface="Bold"/>
            </a:rPr>
            <a:t>• North and East regions show better performance</a:t>
          </a:r>
        </a:p>
        <a:p>
          <a:pPr algn="ctr"/>
          <a:r>
            <a:rPr lang="en-IN" sz="1400">
              <a:latin typeface="Bold"/>
            </a:rPr>
            <a:t>• High-value products generate more revenue despite lower quantity</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HARAN R" refreshedDate="46144.482317592592" createdVersion="8" refreshedVersion="8" minRefreshableVersion="3" recordCount="15" xr:uid="{F7631970-80A6-4EF6-AE52-4D843DAF7FEE}">
  <cacheSource type="worksheet">
    <worksheetSource name="Table1"/>
  </cacheSource>
  <cacheFields count="8">
    <cacheField name="Date" numFmtId="14">
      <sharedItems containsSemiMixedTypes="0" containsNonDate="0" containsDate="1" containsString="0" minDate="2026-01-01T00:00:00" maxDate="2026-01-16T00:00:00" count="15">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sharedItems>
      <fieldGroup par="7"/>
    </cacheField>
    <cacheField name="Product" numFmtId="0">
      <sharedItems count="14">
        <s v="Laptop"/>
        <s v="Phone"/>
        <s v="Shoes"/>
        <s v="Watch"/>
        <s v="PC"/>
        <s v="Tablet"/>
        <s v="Shirt"/>
        <s v="Headphone"/>
        <s v="Pant"/>
        <s v="Ring"/>
        <s v="Mobile"/>
        <s v="Charger"/>
        <s v="Speaker"/>
        <s v="Router"/>
      </sharedItems>
    </cacheField>
    <cacheField name="Category" numFmtId="0">
      <sharedItems count="3">
        <s v="Electronics"/>
        <s v="Fashion"/>
        <s v="Accessories"/>
      </sharedItems>
    </cacheField>
    <cacheField name="Sales" numFmtId="0">
      <sharedItems containsSemiMixedTypes="0" containsString="0" containsNumber="1" containsInteger="1" minValue="2500" maxValue="60000"/>
    </cacheField>
    <cacheField name="Quantity" numFmtId="0">
      <sharedItems containsSemiMixedTypes="0" containsString="0" containsNumber="1" containsInteger="1" minValue="1" maxValue="5"/>
    </cacheField>
    <cacheField name="Region" numFmtId="0">
      <sharedItems count="4">
        <s v="South"/>
        <s v="North"/>
        <s v="East"/>
        <s v="West"/>
      </sharedItems>
    </cacheField>
    <cacheField name="Months (Date)" numFmtId="0" databaseField="0">
      <fieldGroup base="0">
        <rangePr groupBy="months" startDate="2026-01-01T00:00:00" endDate="2026-01-16T00:00:00"/>
        <groupItems count="14">
          <s v="&lt;01-01-2026"/>
          <s v="Jan"/>
          <s v="Feb"/>
          <s v="Mar"/>
          <s v="Apr"/>
          <s v="May"/>
          <s v="Jun"/>
          <s v="Jul"/>
          <s v="Aug"/>
          <s v="Sep"/>
          <s v="Oct"/>
          <s v="Nov"/>
          <s v="Dec"/>
          <s v="&gt;16-01-2026"/>
        </groupItems>
      </fieldGroup>
    </cacheField>
    <cacheField name="Years (Date)" numFmtId="0" databaseField="0">
      <fieldGroup base="0">
        <rangePr groupBy="years" startDate="2026-01-01T00:00:00" endDate="2026-01-16T00:00:00"/>
        <groupItems count="3">
          <s v="&lt;01-01-2026"/>
          <s v="2026"/>
          <s v="&gt;16-01-2026"/>
        </groupItems>
      </fieldGroup>
    </cacheField>
  </cacheFields>
  <extLst>
    <ext xmlns:x14="http://schemas.microsoft.com/office/spreadsheetml/2009/9/main" uri="{725AE2AE-9491-48be-B2B4-4EB974FC3084}">
      <x14:pivotCacheDefinition pivotCacheId="600602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n v="50000"/>
    <n v="2"/>
    <x v="0"/>
  </r>
  <r>
    <x v="1"/>
    <x v="1"/>
    <x v="0"/>
    <n v="20000"/>
    <n v="3"/>
    <x v="1"/>
  </r>
  <r>
    <x v="2"/>
    <x v="2"/>
    <x v="1"/>
    <n v="5000"/>
    <n v="5"/>
    <x v="2"/>
  </r>
  <r>
    <x v="3"/>
    <x v="3"/>
    <x v="2"/>
    <n v="7000"/>
    <n v="2"/>
    <x v="3"/>
  </r>
  <r>
    <x v="4"/>
    <x v="4"/>
    <x v="0"/>
    <n v="55000"/>
    <n v="1"/>
    <x v="0"/>
  </r>
  <r>
    <x v="5"/>
    <x v="5"/>
    <x v="0"/>
    <n v="30000"/>
    <n v="2"/>
    <x v="1"/>
  </r>
  <r>
    <x v="6"/>
    <x v="6"/>
    <x v="1"/>
    <n v="2500"/>
    <n v="4"/>
    <x v="2"/>
  </r>
  <r>
    <x v="7"/>
    <x v="7"/>
    <x v="0"/>
    <n v="8000"/>
    <n v="3"/>
    <x v="3"/>
  </r>
  <r>
    <x v="8"/>
    <x v="8"/>
    <x v="1"/>
    <n v="6000"/>
    <n v="2"/>
    <x v="0"/>
  </r>
  <r>
    <x v="9"/>
    <x v="9"/>
    <x v="2"/>
    <n v="9000"/>
    <n v="3"/>
    <x v="1"/>
  </r>
  <r>
    <x v="10"/>
    <x v="10"/>
    <x v="0"/>
    <n v="60000"/>
    <n v="1"/>
    <x v="2"/>
  </r>
  <r>
    <x v="11"/>
    <x v="11"/>
    <x v="0"/>
    <n v="22000"/>
    <n v="2"/>
    <x v="3"/>
  </r>
  <r>
    <x v="12"/>
    <x v="6"/>
    <x v="1"/>
    <n v="3000"/>
    <n v="5"/>
    <x v="0"/>
  </r>
  <r>
    <x v="13"/>
    <x v="12"/>
    <x v="0"/>
    <n v="28000"/>
    <n v="2"/>
    <x v="1"/>
  </r>
  <r>
    <x v="14"/>
    <x v="13"/>
    <x v="0"/>
    <n v="7500"/>
    <n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A11702-11D9-4CDC-BD43-50A746287004}"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8" firstHeaderRow="0" firstDataRow="1" firstDataCol="1" rowPageCount="1" colPageCount="1"/>
  <pivotFields count="8">
    <pivotField axis="axisPage" numFmtId="14" showAll="0">
      <items count="16">
        <item x="0"/>
        <item x="1"/>
        <item x="2"/>
        <item x="3"/>
        <item x="4"/>
        <item x="5"/>
        <item x="6"/>
        <item x="7"/>
        <item x="8"/>
        <item x="9"/>
        <item x="10"/>
        <item x="11"/>
        <item x="12"/>
        <item x="13"/>
        <item x="14"/>
        <item t="default"/>
      </items>
    </pivotField>
    <pivotField axis="axisRow" showAll="0" sortType="descending">
      <items count="15">
        <item x="11"/>
        <item x="7"/>
        <item x="0"/>
        <item x="10"/>
        <item x="8"/>
        <item x="4"/>
        <item x="1"/>
        <item x="9"/>
        <item x="13"/>
        <item x="6"/>
        <item x="2"/>
        <item x="12"/>
        <item x="5"/>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showAll="0"/>
    <pivotField dataField="1" showAll="0"/>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15">
    <i>
      <x v="3"/>
    </i>
    <i>
      <x v="5"/>
    </i>
    <i>
      <x v="2"/>
    </i>
    <i>
      <x v="12"/>
    </i>
    <i>
      <x v="11"/>
    </i>
    <i>
      <x/>
    </i>
    <i>
      <x v="6"/>
    </i>
    <i>
      <x v="7"/>
    </i>
    <i>
      <x v="1"/>
    </i>
    <i>
      <x v="8"/>
    </i>
    <i>
      <x v="13"/>
    </i>
    <i>
      <x v="4"/>
    </i>
    <i>
      <x v="9"/>
    </i>
    <i>
      <x v="10"/>
    </i>
    <i t="grand">
      <x/>
    </i>
  </rowItems>
  <colFields count="1">
    <field x="-2"/>
  </colFields>
  <colItems count="2">
    <i>
      <x/>
    </i>
    <i i="1">
      <x v="1"/>
    </i>
  </colItems>
  <pageFields count="1">
    <pageField fld="0" hier="-1"/>
  </pageFields>
  <dataFields count="2">
    <dataField name="Sum of Sales" fld="3" baseField="0" baseItem="0"/>
    <dataField name="Sum of Quantity" fld="4" baseField="0" baseItem="0"/>
  </dataFields>
  <formats count="1">
    <format dxfId="12">
      <pivotArea field="1"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D9FD84C-B9E1-457B-BF0E-4327FC1E579B}" sourceName="Product">
  <pivotTables>
    <pivotTable tabId="2" name="PivotTable1"/>
  </pivotTables>
  <data>
    <tabular pivotCacheId="600602027">
      <items count="14">
        <i x="11" s="1"/>
        <i x="7" s="1"/>
        <i x="0" s="1"/>
        <i x="10" s="1"/>
        <i x="8" s="1"/>
        <i x="4" s="1"/>
        <i x="1" s="1"/>
        <i x="9" s="1"/>
        <i x="13" s="1"/>
        <i x="6" s="1"/>
        <i x="2" s="1"/>
        <i x="1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3C0B694-D180-461C-9B20-525EEE57413F}" sourceName="Category">
  <pivotTables>
    <pivotTable tabId="2" name="PivotTable1"/>
  </pivotTables>
  <data>
    <tabular pivotCacheId="60060202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019243-BBBB-4CDE-B6C2-50A027C7C06B}" sourceName="Region">
  <pivotTables>
    <pivotTable tabId="2" name="PivotTable1"/>
  </pivotTables>
  <data>
    <tabular pivotCacheId="60060202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E4F1859-96D7-45E0-BBEE-1393DBE34526}" cache="Slicer_Product" caption="Product" rowHeight="234950"/>
  <slicer name="Category" xr10:uid="{69929858-D2B2-4219-9542-7274F0A49CF5}" cache="Slicer_Category" caption="Category" rowHeight="234950"/>
  <slicer name="Region" xr10:uid="{5A88A482-F2F9-4129-A03D-F62A4B79079A}"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861353-AE5B-439B-9C31-6368B57BC3C2}" name="Table1" displayName="Table1" ref="A1:F16" totalsRowShown="0" headerRowDxfId="20" dataDxfId="19">
  <autoFilter ref="A1:F16" xr:uid="{FC861353-AE5B-439B-9C31-6368B57BC3C2}"/>
  <tableColumns count="6">
    <tableColumn id="1" xr3:uid="{7DB15769-735A-4E77-BD82-E78B0570FBC6}" name="Date" dataDxfId="18"/>
    <tableColumn id="2" xr3:uid="{4E8CC0E8-1D7F-4976-BF8F-822D2A2AD009}" name="Product" dataDxfId="17"/>
    <tableColumn id="3" xr3:uid="{8399C499-3AA5-4051-9654-288EC87B3F74}" name="Category" dataDxfId="16"/>
    <tableColumn id="4" xr3:uid="{59D00C90-73A6-4288-B553-83358E790A12}" name="Sales" dataDxfId="15"/>
    <tableColumn id="5" xr3:uid="{4896461F-08B9-4465-A619-56CCA2897539}" name="Quantity" dataDxfId="14"/>
    <tableColumn id="6" xr3:uid="{A71ACA3B-5902-4C25-B2F2-8AB344E8B5A8}" name="Region"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3E885-FD98-4AC3-AD6C-9DE4E1076DA2}">
  <dimension ref="A1:J18"/>
  <sheetViews>
    <sheetView showGridLines="0" workbookViewId="0">
      <selection activeCell="I23" sqref="I23"/>
    </sheetView>
  </sheetViews>
  <sheetFormatPr defaultRowHeight="14.4"/>
  <cols>
    <col min="1" max="1" width="12.5546875" bestFit="1" customWidth="1"/>
    <col min="2" max="2" width="11.6640625" bestFit="1" customWidth="1"/>
    <col min="3" max="3" width="14.88671875" bestFit="1" customWidth="1"/>
    <col min="4" max="4" width="21.33203125" bestFit="1" customWidth="1"/>
    <col min="5" max="5" width="19.6640625" bestFit="1" customWidth="1"/>
    <col min="6" max="7" width="8.88671875" customWidth="1"/>
    <col min="8" max="8" width="13.44140625" customWidth="1"/>
    <col min="9" max="9" width="57.77734375" customWidth="1"/>
    <col min="10" max="10" width="23.21875" customWidth="1"/>
  </cols>
  <sheetData>
    <row r="1" spans="1:10" ht="30">
      <c r="A1" s="5" t="s">
        <v>0</v>
      </c>
      <c r="B1" t="s">
        <v>34</v>
      </c>
      <c r="I1" s="13" t="s">
        <v>35</v>
      </c>
    </row>
    <row r="2" spans="1:10" ht="17.399999999999999">
      <c r="H2" s="8" t="s">
        <v>30</v>
      </c>
      <c r="I2" s="8" t="s">
        <v>31</v>
      </c>
      <c r="J2" s="8" t="s">
        <v>32</v>
      </c>
    </row>
    <row r="3" spans="1:10">
      <c r="A3" s="5" t="s">
        <v>28</v>
      </c>
      <c r="B3" t="s">
        <v>27</v>
      </c>
      <c r="C3" t="s">
        <v>33</v>
      </c>
      <c r="H3" s="12">
        <v>313000</v>
      </c>
      <c r="I3" s="10">
        <f>GETPIVOTDATA("Sum of Quantity",$A$3)</f>
        <v>41</v>
      </c>
      <c r="J3" s="9">
        <f>COUNT(B:B)</f>
        <v>15</v>
      </c>
    </row>
    <row r="4" spans="1:10">
      <c r="A4" s="6" t="s">
        <v>20</v>
      </c>
      <c r="B4" s="4">
        <v>60000</v>
      </c>
      <c r="C4" s="4">
        <v>1</v>
      </c>
      <c r="H4" s="11"/>
    </row>
    <row r="5" spans="1:10">
      <c r="A5" s="6" t="s">
        <v>22</v>
      </c>
      <c r="B5" s="4">
        <v>55000</v>
      </c>
      <c r="C5" s="4">
        <v>1</v>
      </c>
    </row>
    <row r="6" spans="1:10">
      <c r="A6" s="6" t="s">
        <v>5</v>
      </c>
      <c r="B6" s="4">
        <v>50000</v>
      </c>
      <c r="C6" s="4">
        <v>2</v>
      </c>
    </row>
    <row r="7" spans="1:10">
      <c r="A7" s="6" t="s">
        <v>17</v>
      </c>
      <c r="B7" s="4">
        <v>30000</v>
      </c>
      <c r="C7" s="4">
        <v>2</v>
      </c>
    </row>
    <row r="8" spans="1:10">
      <c r="A8" s="6" t="s">
        <v>25</v>
      </c>
      <c r="B8" s="4">
        <v>28000</v>
      </c>
      <c r="C8" s="4">
        <v>2</v>
      </c>
    </row>
    <row r="9" spans="1:10">
      <c r="A9" s="6" t="s">
        <v>23</v>
      </c>
      <c r="B9" s="4">
        <v>22000</v>
      </c>
      <c r="C9" s="4">
        <v>2</v>
      </c>
    </row>
    <row r="10" spans="1:10">
      <c r="A10" s="6" t="s">
        <v>9</v>
      </c>
      <c r="B10" s="4">
        <v>20000</v>
      </c>
      <c r="C10" s="4">
        <v>3</v>
      </c>
    </row>
    <row r="11" spans="1:10">
      <c r="A11" s="6" t="s">
        <v>24</v>
      </c>
      <c r="B11" s="4">
        <v>9000</v>
      </c>
      <c r="C11" s="4">
        <v>3</v>
      </c>
    </row>
    <row r="12" spans="1:10">
      <c r="A12" s="6" t="s">
        <v>19</v>
      </c>
      <c r="B12" s="4">
        <v>8000</v>
      </c>
      <c r="C12" s="4">
        <v>3</v>
      </c>
    </row>
    <row r="13" spans="1:10">
      <c r="A13" s="6" t="s">
        <v>26</v>
      </c>
      <c r="B13" s="4">
        <v>7500</v>
      </c>
      <c r="C13" s="4">
        <v>4</v>
      </c>
    </row>
    <row r="14" spans="1:10">
      <c r="A14" s="6" t="s">
        <v>14</v>
      </c>
      <c r="B14" s="4">
        <v>7000</v>
      </c>
      <c r="C14" s="4">
        <v>2</v>
      </c>
    </row>
    <row r="15" spans="1:10">
      <c r="A15" s="6" t="s">
        <v>21</v>
      </c>
      <c r="B15" s="4">
        <v>6000</v>
      </c>
      <c r="C15" s="4">
        <v>2</v>
      </c>
    </row>
    <row r="16" spans="1:10">
      <c r="A16" s="6" t="s">
        <v>18</v>
      </c>
      <c r="B16" s="4">
        <v>5500</v>
      </c>
      <c r="C16" s="4">
        <v>9</v>
      </c>
    </row>
    <row r="17" spans="1:3">
      <c r="A17" s="6" t="s">
        <v>10</v>
      </c>
      <c r="B17" s="4">
        <v>5000</v>
      </c>
      <c r="C17" s="4">
        <v>5</v>
      </c>
    </row>
    <row r="18" spans="1:3">
      <c r="A18" s="6" t="s">
        <v>29</v>
      </c>
      <c r="B18" s="7">
        <v>313000</v>
      </c>
      <c r="C18" s="4">
        <v>41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A0E30-AB16-499D-80A2-CA7CAD61F606}">
  <dimension ref="A1:F20"/>
  <sheetViews>
    <sheetView tabSelected="1" workbookViewId="0">
      <selection activeCell="E14" sqref="E14"/>
    </sheetView>
  </sheetViews>
  <sheetFormatPr defaultRowHeight="14.4"/>
  <cols>
    <col min="1" max="1" width="10.88671875" customWidth="1"/>
    <col min="2" max="2" width="10.33203125" customWidth="1"/>
    <col min="3" max="3" width="10.44140625" customWidth="1"/>
    <col min="4" max="5" width="10.21875" customWidth="1"/>
  </cols>
  <sheetData>
    <row r="1" spans="1:6">
      <c r="A1" s="1" t="s">
        <v>0</v>
      </c>
      <c r="B1" s="1" t="s">
        <v>1</v>
      </c>
      <c r="C1" s="1" t="s">
        <v>2</v>
      </c>
      <c r="D1" s="1" t="s">
        <v>4</v>
      </c>
      <c r="E1" s="1" t="s">
        <v>3</v>
      </c>
      <c r="F1" s="1" t="s">
        <v>7</v>
      </c>
    </row>
    <row r="2" spans="1:6">
      <c r="A2" s="2">
        <v>46023</v>
      </c>
      <c r="B2" s="3" t="s">
        <v>5</v>
      </c>
      <c r="C2" s="3" t="s">
        <v>6</v>
      </c>
      <c r="D2" s="3">
        <v>50000</v>
      </c>
      <c r="E2" s="3">
        <v>2</v>
      </c>
      <c r="F2" s="3" t="s">
        <v>8</v>
      </c>
    </row>
    <row r="3" spans="1:6">
      <c r="A3" s="2">
        <v>46024</v>
      </c>
      <c r="B3" s="3" t="s">
        <v>9</v>
      </c>
      <c r="C3" s="3" t="s">
        <v>6</v>
      </c>
      <c r="D3" s="3">
        <v>20000</v>
      </c>
      <c r="E3" s="3">
        <v>3</v>
      </c>
      <c r="F3" s="3" t="s">
        <v>12</v>
      </c>
    </row>
    <row r="4" spans="1:6">
      <c r="A4" s="2">
        <v>46025</v>
      </c>
      <c r="B4" s="3" t="s">
        <v>10</v>
      </c>
      <c r="C4" s="3" t="s">
        <v>11</v>
      </c>
      <c r="D4" s="3">
        <v>5000</v>
      </c>
      <c r="E4" s="3">
        <v>5</v>
      </c>
      <c r="F4" s="3" t="s">
        <v>13</v>
      </c>
    </row>
    <row r="5" spans="1:6">
      <c r="A5" s="2">
        <v>46026</v>
      </c>
      <c r="B5" s="3" t="s">
        <v>14</v>
      </c>
      <c r="C5" s="3" t="s">
        <v>15</v>
      </c>
      <c r="D5" s="3">
        <v>7000</v>
      </c>
      <c r="E5" s="3">
        <v>2</v>
      </c>
      <c r="F5" s="3" t="s">
        <v>16</v>
      </c>
    </row>
    <row r="6" spans="1:6">
      <c r="A6" s="2">
        <v>46027</v>
      </c>
      <c r="B6" s="3" t="s">
        <v>22</v>
      </c>
      <c r="C6" s="3" t="s">
        <v>6</v>
      </c>
      <c r="D6" s="3">
        <v>55000</v>
      </c>
      <c r="E6" s="3">
        <v>1</v>
      </c>
      <c r="F6" s="3" t="s">
        <v>8</v>
      </c>
    </row>
    <row r="7" spans="1:6">
      <c r="A7" s="2">
        <v>46028</v>
      </c>
      <c r="B7" s="3" t="s">
        <v>17</v>
      </c>
      <c r="C7" s="3" t="s">
        <v>6</v>
      </c>
      <c r="D7" s="3">
        <v>30000</v>
      </c>
      <c r="E7" s="3">
        <v>2</v>
      </c>
      <c r="F7" s="3" t="s">
        <v>12</v>
      </c>
    </row>
    <row r="8" spans="1:6">
      <c r="A8" s="2">
        <v>46029</v>
      </c>
      <c r="B8" s="3" t="s">
        <v>18</v>
      </c>
      <c r="C8" s="3" t="s">
        <v>11</v>
      </c>
      <c r="D8" s="3">
        <v>2500</v>
      </c>
      <c r="E8" s="3">
        <v>4</v>
      </c>
      <c r="F8" s="3" t="s">
        <v>13</v>
      </c>
    </row>
    <row r="9" spans="1:6">
      <c r="A9" s="2">
        <v>46030</v>
      </c>
      <c r="B9" s="3" t="s">
        <v>19</v>
      </c>
      <c r="C9" s="3" t="s">
        <v>6</v>
      </c>
      <c r="D9" s="3">
        <v>8000</v>
      </c>
      <c r="E9" s="3">
        <v>3</v>
      </c>
      <c r="F9" s="3" t="s">
        <v>16</v>
      </c>
    </row>
    <row r="10" spans="1:6">
      <c r="A10" s="2">
        <v>46031</v>
      </c>
      <c r="B10" s="3" t="s">
        <v>21</v>
      </c>
      <c r="C10" s="3" t="s">
        <v>11</v>
      </c>
      <c r="D10" s="3">
        <v>6000</v>
      </c>
      <c r="E10" s="3">
        <v>2</v>
      </c>
      <c r="F10" s="3" t="s">
        <v>8</v>
      </c>
    </row>
    <row r="11" spans="1:6">
      <c r="A11" s="2">
        <v>46032</v>
      </c>
      <c r="B11" s="3" t="s">
        <v>24</v>
      </c>
      <c r="C11" s="3" t="s">
        <v>15</v>
      </c>
      <c r="D11" s="3">
        <v>9000</v>
      </c>
      <c r="E11" s="3">
        <v>3</v>
      </c>
      <c r="F11" s="3" t="s">
        <v>12</v>
      </c>
    </row>
    <row r="12" spans="1:6">
      <c r="A12" s="2">
        <v>46033</v>
      </c>
      <c r="B12" s="3" t="s">
        <v>20</v>
      </c>
      <c r="C12" s="3" t="s">
        <v>6</v>
      </c>
      <c r="D12" s="3">
        <v>60000</v>
      </c>
      <c r="E12" s="3">
        <v>1</v>
      </c>
      <c r="F12" s="3" t="s">
        <v>13</v>
      </c>
    </row>
    <row r="13" spans="1:6">
      <c r="A13" s="2">
        <v>46034</v>
      </c>
      <c r="B13" s="3" t="s">
        <v>23</v>
      </c>
      <c r="C13" s="3" t="s">
        <v>6</v>
      </c>
      <c r="D13" s="3">
        <v>22000</v>
      </c>
      <c r="E13" s="3">
        <v>2</v>
      </c>
      <c r="F13" s="3" t="s">
        <v>16</v>
      </c>
    </row>
    <row r="14" spans="1:6">
      <c r="A14" s="2">
        <v>46035</v>
      </c>
      <c r="B14" s="3" t="s">
        <v>18</v>
      </c>
      <c r="C14" s="3" t="s">
        <v>11</v>
      </c>
      <c r="D14" s="3">
        <v>3000</v>
      </c>
      <c r="E14" s="3">
        <v>5</v>
      </c>
      <c r="F14" s="3" t="s">
        <v>8</v>
      </c>
    </row>
    <row r="15" spans="1:6">
      <c r="A15" s="2">
        <v>46036</v>
      </c>
      <c r="B15" s="3" t="s">
        <v>25</v>
      </c>
      <c r="C15" s="3" t="s">
        <v>6</v>
      </c>
      <c r="D15" s="3">
        <v>28000</v>
      </c>
      <c r="E15" s="3">
        <v>2</v>
      </c>
      <c r="F15" s="3" t="s">
        <v>12</v>
      </c>
    </row>
    <row r="16" spans="1:6">
      <c r="A16" s="2">
        <v>46037</v>
      </c>
      <c r="B16" s="3" t="s">
        <v>26</v>
      </c>
      <c r="C16" s="3" t="s">
        <v>6</v>
      </c>
      <c r="D16" s="3">
        <v>7500</v>
      </c>
      <c r="E16" s="3">
        <v>4</v>
      </c>
      <c r="F16" s="3" t="s">
        <v>13</v>
      </c>
    </row>
    <row r="17" spans="1:6">
      <c r="A17" s="1"/>
      <c r="B17" s="1"/>
      <c r="C17" s="1"/>
      <c r="D17" s="1"/>
      <c r="E17" s="1"/>
      <c r="F17" s="1"/>
    </row>
    <row r="18" spans="1:6">
      <c r="A18" s="1"/>
      <c r="B18" s="1"/>
      <c r="C18" s="1"/>
      <c r="D18" s="1"/>
      <c r="E18" s="1"/>
      <c r="F18" s="1"/>
    </row>
    <row r="19" spans="1:6">
      <c r="A19" s="1"/>
      <c r="B19" s="1"/>
      <c r="C19" s="1"/>
      <c r="D19" s="1"/>
      <c r="E19" s="1"/>
      <c r="F19" s="1"/>
    </row>
    <row r="20" spans="1:6">
      <c r="A20" s="1"/>
      <c r="B20" s="1"/>
      <c r="C20" s="1"/>
      <c r="D20" s="1"/>
      <c r="E20" s="1"/>
      <c r="F20" s="1"/>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HARAN R</dc:creator>
  <cp:lastModifiedBy>HARI HARAN R</cp:lastModifiedBy>
  <dcterms:created xsi:type="dcterms:W3CDTF">2026-05-02T03:13:15Z</dcterms:created>
  <dcterms:modified xsi:type="dcterms:W3CDTF">2026-05-02T07:04:44Z</dcterms:modified>
</cp:coreProperties>
</file>